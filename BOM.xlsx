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umassd-my.sharepoint.com/personal/fbouchard_umassd_edu/Documents/Aurelia/Aurelia_X/"/>
    </mc:Choice>
  </mc:AlternateContent>
  <xr:revisionPtr revIDLastSave="268" documentId="8_{005A4015-EE87-4E26-BCAE-0D511A030680}" xr6:coauthVersionLast="47" xr6:coauthVersionMax="47" xr10:uidLastSave="{FF78FE2D-32FB-4787-A9F7-118A2B9DEC5E}"/>
  <bookViews>
    <workbookView xWindow="-110" yWindow="-110" windowWidth="19420" windowHeight="11500" xr2:uid="{17009865-1975-4AB5-869D-950B712B05F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4" i="1" l="1"/>
  <c r="E43" i="1"/>
  <c r="F19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18" i="1"/>
  <c r="F17" i="1"/>
  <c r="F16" i="1"/>
  <c r="F20" i="1"/>
  <c r="F15" i="1"/>
  <c r="F14" i="1"/>
  <c r="F11" i="1"/>
  <c r="F13" i="1"/>
  <c r="F12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<sst xmlns="http://schemas.openxmlformats.org/spreadsheetml/2006/main" count="173" uniqueCount="156">
  <si>
    <t>Refrence</t>
  </si>
  <si>
    <t>Qty</t>
  </si>
  <si>
    <t>Value</t>
  </si>
  <si>
    <t>Footprint</t>
  </si>
  <si>
    <t>Price Per</t>
  </si>
  <si>
    <t>Total Price</t>
  </si>
  <si>
    <t>Link</t>
  </si>
  <si>
    <t>C1,C2,C4,C5,C6,C7,C11,C12,C13,C15,C16,C17,C18,C19</t>
  </si>
  <si>
    <t>100n</t>
  </si>
  <si>
    <t>Capacitor_SMD:C_0603_1608Metric_Pad1.08x0.95mm_HandSolder</t>
  </si>
  <si>
    <t>https://www.digikey.com/en/products/detail/samsung-electro-mechanics/CL10E104KC8VPNC/20498486</t>
  </si>
  <si>
    <t>C3,C8,C9</t>
  </si>
  <si>
    <t>1u</t>
  </si>
  <si>
    <t>https://www.digikey.com/en/products/detail/samsung-electro-mechanics/CL10B105KO8NNNC/3886677</t>
  </si>
  <si>
    <t>C10</t>
  </si>
  <si>
    <t>EDC334Z5R5H</t>
  </si>
  <si>
    <t>Aurelia Library:SUP_CAP_EECSD_H_PAN</t>
  </si>
  <si>
    <t>https://www.digikey.com/en/products/detail/cornell-dubilier-knowles/EDC334Z5R5H/10412861</t>
  </si>
  <si>
    <t>C14</t>
  </si>
  <si>
    <t>22p</t>
  </si>
  <si>
    <t>https://www.digikey.com/en/products/detail/kemet/C0603C220J5GACTU/411055</t>
  </si>
  <si>
    <t>D1</t>
  </si>
  <si>
    <t>40V 3A</t>
  </si>
  <si>
    <t>Aurelia Library:40V_3A_SMA_SHKY_DIODE</t>
  </si>
  <si>
    <t>https://www.digikey.com/en/products/detail/diodes-incorporated/B340AE-13/7352831?s=N4IgTCBcDaIEYGYAsAGAhgUwLQEYEgF0BfIA</t>
  </si>
  <si>
    <t>D2</t>
  </si>
  <si>
    <t>SMF24A</t>
  </si>
  <si>
    <t>Diode_SMD:D_SMF</t>
  </si>
  <si>
    <t>https://www.digikey.com/en/products/detail/diotec-semiconductor/SMF24A/13163858</t>
  </si>
  <si>
    <t>D3,D8</t>
  </si>
  <si>
    <t>100V 150mA</t>
  </si>
  <si>
    <t>Diode_SMD:D_SOD-123</t>
  </si>
  <si>
    <t>https://www.digikey.com/en/products/detail/diotec-semiconductor/BAT46W/13156682</t>
  </si>
  <si>
    <t>D4,D9,D11</t>
  </si>
  <si>
    <t>GREEN</t>
  </si>
  <si>
    <t>LED_SMD:LED_0603_1608Metric_Pad1.05x0.95mm_HandSolder</t>
  </si>
  <si>
    <t>https://www.digikey.com/en/products/detail/liteon/LTST-C190KGKT/386815</t>
  </si>
  <si>
    <t>D5,D10</t>
  </si>
  <si>
    <t>RED</t>
  </si>
  <si>
    <t>https://www.digikey.com/en/products/detail/liteon/LTST-C190KRKT/386817</t>
  </si>
  <si>
    <t>D6</t>
  </si>
  <si>
    <t>1N4448WS</t>
  </si>
  <si>
    <t>Diode_SMD:D_SOD-323F</t>
  </si>
  <si>
    <t>https://www.digikey.com/en/products/detail/onsemi/1N4448WS/1873806</t>
  </si>
  <si>
    <t>D7</t>
  </si>
  <si>
    <t>BLUE</t>
  </si>
  <si>
    <t>https://www.digikey.com/en/products/detail/w%C3%BCrth-elektronik/150060BS75000/4489895</t>
  </si>
  <si>
    <t>D12</t>
  </si>
  <si>
    <t>YELLOW</t>
  </si>
  <si>
    <t>https://www.digikey.com/en/products/detail/liteon/LTST-C190KSKT/386819</t>
  </si>
  <si>
    <t>FB1</t>
  </si>
  <si>
    <t>150R@100MHz</t>
  </si>
  <si>
    <t>Resistor_SMD:R_0805_2012Metric_Pad1.20x1.40mm_HandSolder</t>
  </si>
  <si>
    <t>https://www.digikey.com/en/products/detail/abracon-llc/ACML-0805-151-T/4696700?s=N4IgTCBcDaIIIGECyAZAtABgBwYKxoEZcC0AVEAXQF8g</t>
  </si>
  <si>
    <t>J1</t>
  </si>
  <si>
    <t>USB4216-03-A</t>
  </si>
  <si>
    <t>MotherboardLibrary:GCT_USB4216-03-A_REVA</t>
  </si>
  <si>
    <t>https://www.digikey.com/en/products/detail/gct/USB4216-03-A/26598207</t>
  </si>
  <si>
    <t>J2,J8</t>
  </si>
  <si>
    <t>Conn_01x04_Socket</t>
  </si>
  <si>
    <t>Aurelia Library:DF13_4P_125DS_25</t>
  </si>
  <si>
    <t>https://www.digikey.com/en/products/detail/hirose-electric-co-ltd/DF13-4P-1-25DS-25/15997350?s=N4IgTCBcDaICIDECMBmAtAFgApqQOjAFY4BlACiIEoQBdAXyA</t>
  </si>
  <si>
    <t>J3,J16</t>
  </si>
  <si>
    <t>Conn_02x03_Odd_Even</t>
  </si>
  <si>
    <t>Connector_PinHeader_2.54mm:PinHeader_2x03_P2.54mm_Vertical</t>
  </si>
  <si>
    <t>https://www.digikey.com/en/products/detail/oupiin/2011-2X03G00SD025B/13251540</t>
  </si>
  <si>
    <t>J5</t>
  </si>
  <si>
    <t>Conn_01x03_Pin</t>
  </si>
  <si>
    <t>Connector_PinHeader_2.54mm:PinHeader_1x03_P2.54mm_Vertical</t>
  </si>
  <si>
    <t>https://www.digikey.com/en/products/detail/adam-tech/PH1-20-UA/9830398?s=N4IgTCBcDa4AwFYDsBaACgCQIwrHFAqgIIoByAIiALoC%2BQA</t>
  </si>
  <si>
    <t>J6,J9,J11</t>
  </si>
  <si>
    <t>Connector_JST:JST_XA_S04B-XASK-1N-BN_1x04_P2.50mm_Horizontal</t>
  </si>
  <si>
    <t>https://www.digikey.com/en/products/detail/hirose-electric-co-ltd/DF1BZ-4P-2-5DS/1033131</t>
  </si>
  <si>
    <t>J4,J10,J12,J13,J14,J15,J18</t>
  </si>
  <si>
    <t>Conn_01x20_Socket</t>
  </si>
  <si>
    <t>Connector_PinSocket_2.54mm:PinSocket_1x04_P2.54mm_Vertical</t>
  </si>
  <si>
    <t>https://www.digikey.com/en/products/detail/w%C3%BCrth-elektronik/61302011821/16608603</t>
  </si>
  <si>
    <t>J7</t>
  </si>
  <si>
    <t>9.6Vin</t>
  </si>
  <si>
    <t>MotherboardLibrary:691137710002</t>
  </si>
  <si>
    <t>https://www.digikey.com/en/products/detail/w%C3%BCrth-elektronik/691137710002/6644051?s=N4IgTCBcDaIGwE4CMSDMB2dSAMuIF0BfIA</t>
  </si>
  <si>
    <t>J17</t>
  </si>
  <si>
    <t>Micro_SD_Card</t>
  </si>
  <si>
    <t>Connector_Card:microSD_HC_Hirose_DM3BT-DSF-PEJS</t>
  </si>
  <si>
    <t>https://www.digikey.com/en/products/detail/hirose-electric-co-ltd/DM3BT-DSF-PEJS/1982749</t>
  </si>
  <si>
    <t>R1,R4</t>
  </si>
  <si>
    <t>5.1k</t>
  </si>
  <si>
    <t>Resistor_SMD:R_0603_1608Metric_Pad0.98x0.95mm_HandSolder</t>
  </si>
  <si>
    <t>https://www.digikey.com/en/products/detail/yageo/RC0603FR-075K1L/727268</t>
  </si>
  <si>
    <t>R2,R3,R5,R6,R8,R10,R14,R15,R16,R17,R18,R19,R20,R22,R23,R25,R33,R36,R37</t>
  </si>
  <si>
    <t>1k</t>
  </si>
  <si>
    <t>https://www.digikey.com/en/products/detail/stackpole-electronics-inc/RMCF0603FT1K00/1761077</t>
  </si>
  <si>
    <t>R7,R21</t>
  </si>
  <si>
    <t>https://www.digikey.com/en/products/detail/panasonic-industry/ERJ-3EKF2100V/196213</t>
  </si>
  <si>
    <t>R9,R30</t>
  </si>
  <si>
    <t>1M</t>
  </si>
  <si>
    <t>https://www.digikey.com/en/products/detail/yageo/RC0201FR-071ML/3202390</t>
  </si>
  <si>
    <t>R11,R24,R27,R28,R31</t>
  </si>
  <si>
    <t>10k</t>
  </si>
  <si>
    <t>R12,R13</t>
  </si>
  <si>
    <t>https://www.digikey.com/en/products/detail/panasonic-industry/ERA-3AEB223V/1465886</t>
  </si>
  <si>
    <t>R26</t>
  </si>
  <si>
    <t>4k7</t>
  </si>
  <si>
    <t>https://www.digikey.com/en/products/detail/yageo/RC0603FR-0747KL/727253</t>
  </si>
  <si>
    <t>R29</t>
  </si>
  <si>
    <t>https://www.digikey.com/en/products/detail/panasonic-industry/ERJ-3EKF6800V/413159</t>
  </si>
  <si>
    <t>R32</t>
  </si>
  <si>
    <t>https://www.digikey.com/en/products/detail/panasonic-industry/ERJ-3EKF2200V/1746334</t>
  </si>
  <si>
    <t>R34,R35</t>
  </si>
  <si>
    <t>4.7k</t>
  </si>
  <si>
    <t>https://www.digikey.com/en/products/detail/stackpole-electronics-inc/RMCF0603FT4K70/1760998</t>
  </si>
  <si>
    <t>U1,U5</t>
  </si>
  <si>
    <t>PCA9306DC1Z</t>
  </si>
  <si>
    <t>Package_SO:VSSOP-8_2.3x2mm_P0.5mm</t>
  </si>
  <si>
    <t>https://www.digikey.com/en/products/detail/nxp-usa-inc/PCA9306DC1Z/26226838</t>
  </si>
  <si>
    <t>U2,U11</t>
  </si>
  <si>
    <t>LM321</t>
  </si>
  <si>
    <t>Package_TO_SOT_SMD:SOT-23-5</t>
  </si>
  <si>
    <t>https://www.digikey.com/en/products/detail/shenzhen-slkormicro-semicon-co-ltd/LM321/21852988</t>
  </si>
  <si>
    <t>U3</t>
  </si>
  <si>
    <t>ATmega16U2-A</t>
  </si>
  <si>
    <t>Package_QFP:TQFP-32_7x7mm_P0.8mm</t>
  </si>
  <si>
    <t>https://www.digikey.com/en/products/detail/microchip-technology/ATMEGA16U2-MU/2050821</t>
  </si>
  <si>
    <t>U4</t>
  </si>
  <si>
    <t>FDN340P</t>
  </si>
  <si>
    <t>Package_TO_SOT_SMD:SOT-23</t>
  </si>
  <si>
    <t>https://www.digikey.com/en/products/detail/onsemi/FDN340P/965304</t>
  </si>
  <si>
    <t>U6</t>
  </si>
  <si>
    <t>LP2985-3.3</t>
  </si>
  <si>
    <t>Package_TO_SOT_SMD:SOT-23-5_HandSoldering</t>
  </si>
  <si>
    <t>https://www.digikey.com/en/products/detail/texas-instruments/LP2985-33DBVR/809759</t>
  </si>
  <si>
    <t>U7</t>
  </si>
  <si>
    <t>LM7805CV</t>
  </si>
  <si>
    <t>Package_TO_SOT_THT:TO-220-3_Vertical</t>
  </si>
  <si>
    <t>https://www.digikey.com/en/products/detail/stmicroelectronics/L7805CV/585964</t>
  </si>
  <si>
    <t>U8</t>
  </si>
  <si>
    <t>RYLR998(RF)</t>
  </si>
  <si>
    <t>Connector_PinSocket_2.54mm:PinSocket_1x05_P2.54mm_Horizontal</t>
  </si>
  <si>
    <t>https://www.digikey.com/en/products/detail/reyax/RYLR998/22078252</t>
  </si>
  <si>
    <t>U9</t>
  </si>
  <si>
    <t>CD4050BPWR</t>
  </si>
  <si>
    <t>Package_SO:SOIC-16_3.9x9.9mm_P1.27mm</t>
  </si>
  <si>
    <t>https://www.digikey.com/en/products/detail/texas-instruments/CD4050BDR/1691133</t>
  </si>
  <si>
    <t>U10</t>
  </si>
  <si>
    <t>ATmega2560-16A</t>
  </si>
  <si>
    <t>Package_QFP:TQFP-100_14x14mm_P0.5mm</t>
  </si>
  <si>
    <t>https://www.digikey.com/en/products/detail/microchip-technology/ATMEGA2560-16AU/735455</t>
  </si>
  <si>
    <t>Y1,Y2</t>
  </si>
  <si>
    <t>16MHz</t>
  </si>
  <si>
    <t>Crystal:Resonator_Murata_CSTLSxxxX-3Pin_W5.5mm_H3.0mm</t>
  </si>
  <si>
    <t>https://www.digikey.com/en/products/detail/murata-electronics/CSTLS16M0X54-A0/13250850</t>
  </si>
  <si>
    <t>O1</t>
  </si>
  <si>
    <t>HC-06</t>
  </si>
  <si>
    <t>Bluetooth Module</t>
  </si>
  <si>
    <t>https://www.amazon.com/ACEIRMC-Wireless-Bluetooth-Transceiver-Bi-Directional/dp/B08L8KN9Z6/ref=sr_1_25?crid=3VXM1KY9T9BGU&amp;dib=eyJ2IjoiMSJ9.cLz3ow8llvTc-QMcrB3ScKICONDYlZPJuR29RBjDBn1IrNCfv4w86s2ZhriTU5-OxXRf9IKBgZXr6ZVWbB7CBbRpW4OqT25s9JK76jFC-D9YXcwXXWpKuGHjS78kqn6ce6XBXzGw2SKHQMlB5v45fWqw7fegoi1xakwiFu52R-Mro2k0MzWXMLNEqSEG3wh6gGt85xMpfFxlzlZFdLy6-3hkOcUkkP1P8Jf6bx49la1dYjt-vcbmISfDIFzdsdFxq_NYAmufcElicthYZWEu8WOl5u8iLuKBokk-f4xfeHU.1EHKOLpkLmaQz_Sq_eMXe1Tgiv3A7CcTnIY-byvcyp0&amp;dib_tag=se&amp;keywords=Wireless+Bluetooth+RF+Transceiver&amp;qid=1781483387&amp;s=electronics&amp;sprefix=wireless+bluetooth+rf+transceiver%2Celectronics%2C122&amp;sr=1-25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</si>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</sst>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horizontal="left"/>
    </xf>
    <xf numFmtId="164" fontId="0" fillId="3" borderId="0" xfId="0" applyNumberFormat="1" applyFill="1"/>
    <xf numFmtId="0" fontId="1" fillId="3" borderId="0" xfId="1" applyFill="1"/>
    <xf numFmtId="0" fontId="0" fillId="4" borderId="0" xfId="0" applyFill="1"/>
    <xf numFmtId="0" fontId="0" fillId="4" borderId="0" xfId="0" applyFill="1" applyAlignment="1">
      <alignment horizontal="left"/>
    </xf>
    <xf numFmtId="164" fontId="0" fillId="4" borderId="0" xfId="0" applyNumberFormat="1" applyFill="1"/>
    <xf numFmtId="0" fontId="1" fillId="4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liteon/LTST-C190KSKT/386819" TargetMode="External"/><Relationship Id="rId13" Type="http://schemas.openxmlformats.org/officeDocument/2006/relationships/hyperlink" Target="https://www.digikey.com/en/products/detail/kemet/C0603C220J5GACTU/411055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com/en/products/detail/diotec-semiconductor/BAT46W/13156682" TargetMode="External"/><Relationship Id="rId7" Type="http://schemas.openxmlformats.org/officeDocument/2006/relationships/hyperlink" Target="https://www.digikey.com/en/products/detail/w%C3%BCrth-elektronik/150060BS75000/4489895" TargetMode="External"/><Relationship Id="rId12" Type="http://schemas.openxmlformats.org/officeDocument/2006/relationships/hyperlink" Target="https://www.digikey.com/en/products/detail/cornell-dubilier-knowles/EDC334Z5R5H/10412861" TargetMode="External"/><Relationship Id="rId17" Type="http://schemas.openxmlformats.org/officeDocument/2006/relationships/hyperlink" Target="https://www.digikey.com/en/products/detail/panasonic-industry/ERA-3AEB223V/1465886" TargetMode="External"/><Relationship Id="rId2" Type="http://schemas.openxmlformats.org/officeDocument/2006/relationships/hyperlink" Target="https://www.digikey.com/en/products/detail/diotec-semiconductor/SMF24A/13163858" TargetMode="External"/><Relationship Id="rId16" Type="http://schemas.openxmlformats.org/officeDocument/2006/relationships/hyperlink" Target="https://www.digikey.com/en/products/detail/oupiin/2011-2X03G00SD025B/13251540" TargetMode="External"/><Relationship Id="rId1" Type="http://schemas.openxmlformats.org/officeDocument/2006/relationships/hyperlink" Target="https://www.digikey.com/en/products/detail/gct/USB4216-03-A/26598207" TargetMode="External"/><Relationship Id="rId6" Type="http://schemas.openxmlformats.org/officeDocument/2006/relationships/hyperlink" Target="https://www.digikey.com/en/products/detail/onsemi/1N4448WS/1873806" TargetMode="External"/><Relationship Id="rId11" Type="http://schemas.openxmlformats.org/officeDocument/2006/relationships/hyperlink" Target="https://www.digikey.com/en/products/detail/samsung-electro-mechanics/CL10B105KO8NNNC/3886677" TargetMode="External"/><Relationship Id="rId5" Type="http://schemas.openxmlformats.org/officeDocument/2006/relationships/hyperlink" Target="https://www.digikey.com/en/products/detail/liteon/LTST-C190KRKT/386817" TargetMode="External"/><Relationship Id="rId15" Type="http://schemas.openxmlformats.org/officeDocument/2006/relationships/hyperlink" Target="https://www.digikey.com/en/products/detail/w%C3%BCrth-elektronik/61302011821/16608603" TargetMode="External"/><Relationship Id="rId10" Type="http://schemas.openxmlformats.org/officeDocument/2006/relationships/hyperlink" Target="https://www.digikey.com/en/products/detail/samsung-electro-mechanics/CL10E104KC8VPNC/20498486" TargetMode="External"/><Relationship Id="rId4" Type="http://schemas.openxmlformats.org/officeDocument/2006/relationships/hyperlink" Target="https://www.digikey.com/en/products/detail/liteon/LTST-C190KGKT/386815" TargetMode="External"/><Relationship Id="rId9" Type="http://schemas.openxmlformats.org/officeDocument/2006/relationships/hyperlink" Target="https://www.digikey.com/en/products/detail/abracon-llc/ACML-0805-151-T/4696700?s=N4IgTCBcDaIIIGECyAZAtABgBwYKxoEZcC0AVEAXQF8g" TargetMode="External"/><Relationship Id="rId14" Type="http://schemas.openxmlformats.org/officeDocument/2006/relationships/hyperlink" Target="https://www.digikey.com/en/products/detail/diodes-incorporated/B340AE-13/7352831?s=N4IgTCBcDaIEYGYAsAGAhgUwLQEYEg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2B17-2C4B-4275-A2ED-A48CDF629666}">
  <dimension ref="A1:H44"/>
  <sheetViews>
    <sheetView tabSelected="1" zoomScaleNormal="100" workbookViewId="0">
      <selection activeCell="A11" sqref="A11:XFD11"/>
    </sheetView>
  </sheetViews>
  <sheetFormatPr defaultRowHeight="14.45"/>
  <cols>
    <col min="3" max="3" width="19.7109375" style="3" bestFit="1" customWidth="1"/>
    <col min="4" max="4" width="57.5703125" bestFit="1" customWidth="1"/>
    <col min="5" max="5" width="8.140625" style="1" bestFit="1" customWidth="1"/>
    <col min="6" max="6" width="9.42578125" style="1" bestFit="1" customWidth="1"/>
  </cols>
  <sheetData>
    <row r="1" spans="1:7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7" customFormat="1">
      <c r="A2" s="7" t="s">
        <v>7</v>
      </c>
      <c r="B2" s="7">
        <v>50</v>
      </c>
      <c r="C2" s="8" t="s">
        <v>8</v>
      </c>
      <c r="D2" s="7" t="s">
        <v>9</v>
      </c>
      <c r="E2" s="9">
        <v>0.155</v>
      </c>
      <c r="F2" s="9">
        <f t="shared" ref="F2:F38" si="0">B2*E2</f>
        <v>7.75</v>
      </c>
      <c r="G2" s="10" t="s">
        <v>10</v>
      </c>
    </row>
    <row r="3" spans="1:7" s="7" customFormat="1">
      <c r="A3" s="7" t="s">
        <v>11</v>
      </c>
      <c r="B3" s="7">
        <v>50</v>
      </c>
      <c r="C3" s="8" t="s">
        <v>12</v>
      </c>
      <c r="D3" s="7" t="s">
        <v>9</v>
      </c>
      <c r="E3" s="9">
        <v>2.5000000000000001E-2</v>
      </c>
      <c r="F3" s="9">
        <f t="shared" si="0"/>
        <v>1.25</v>
      </c>
      <c r="G3" s="10" t="s">
        <v>13</v>
      </c>
    </row>
    <row r="4" spans="1:7" s="7" customFormat="1">
      <c r="A4" s="7" t="s">
        <v>14</v>
      </c>
      <c r="B4" s="7">
        <v>5</v>
      </c>
      <c r="C4" s="8" t="s">
        <v>15</v>
      </c>
      <c r="D4" s="7" t="s">
        <v>16</v>
      </c>
      <c r="E4" s="9">
        <v>3.52</v>
      </c>
      <c r="F4" s="9">
        <f t="shared" si="0"/>
        <v>17.600000000000001</v>
      </c>
      <c r="G4" s="10" t="s">
        <v>17</v>
      </c>
    </row>
    <row r="5" spans="1:7" s="7" customFormat="1">
      <c r="A5" s="7" t="s">
        <v>18</v>
      </c>
      <c r="B5" s="7">
        <v>50</v>
      </c>
      <c r="C5" s="8" t="s">
        <v>19</v>
      </c>
      <c r="D5" s="7" t="s">
        <v>9</v>
      </c>
      <c r="E5" s="9">
        <v>0.05</v>
      </c>
      <c r="F5" s="9">
        <f t="shared" si="0"/>
        <v>2.5</v>
      </c>
      <c r="G5" s="10" t="s">
        <v>20</v>
      </c>
    </row>
    <row r="6" spans="1:7" s="7" customFormat="1">
      <c r="A6" s="7" t="s">
        <v>21</v>
      </c>
      <c r="B6" s="7">
        <v>10</v>
      </c>
      <c r="C6" s="8" t="s">
        <v>22</v>
      </c>
      <c r="D6" s="7" t="s">
        <v>23</v>
      </c>
      <c r="E6" s="9">
        <v>0.34499999999999997</v>
      </c>
      <c r="F6" s="9">
        <f t="shared" si="0"/>
        <v>3.4499999999999997</v>
      </c>
      <c r="G6" s="10" t="s">
        <v>24</v>
      </c>
    </row>
    <row r="7" spans="1:7" s="7" customFormat="1">
      <c r="A7" s="7" t="s">
        <v>25</v>
      </c>
      <c r="B7" s="7">
        <v>10</v>
      </c>
      <c r="C7" s="8" t="s">
        <v>26</v>
      </c>
      <c r="D7" s="7" t="s">
        <v>27</v>
      </c>
      <c r="E7" s="9">
        <v>0.16400000000000001</v>
      </c>
      <c r="F7" s="9">
        <f t="shared" si="0"/>
        <v>1.6400000000000001</v>
      </c>
      <c r="G7" s="10" t="s">
        <v>28</v>
      </c>
    </row>
    <row r="8" spans="1:7" s="7" customFormat="1">
      <c r="A8" s="7" t="s">
        <v>29</v>
      </c>
      <c r="B8" s="7">
        <v>10</v>
      </c>
      <c r="C8" s="8" t="s">
        <v>30</v>
      </c>
      <c r="D8" s="7" t="s">
        <v>31</v>
      </c>
      <c r="E8" s="9">
        <v>0.108</v>
      </c>
      <c r="F8" s="9">
        <f t="shared" si="0"/>
        <v>1.08</v>
      </c>
      <c r="G8" s="10" t="s">
        <v>32</v>
      </c>
    </row>
    <row r="9" spans="1:7" s="7" customFormat="1">
      <c r="A9" s="7" t="s">
        <v>33</v>
      </c>
      <c r="B9" s="7">
        <v>50</v>
      </c>
      <c r="C9" s="8" t="s">
        <v>34</v>
      </c>
      <c r="D9" s="7" t="s">
        <v>35</v>
      </c>
      <c r="E9" s="9">
        <v>6.4000000000000001E-2</v>
      </c>
      <c r="F9" s="9">
        <f t="shared" si="0"/>
        <v>3.2</v>
      </c>
      <c r="G9" s="10" t="s">
        <v>36</v>
      </c>
    </row>
    <row r="10" spans="1:7" s="7" customFormat="1">
      <c r="A10" s="7" t="s">
        <v>37</v>
      </c>
      <c r="B10" s="7">
        <v>50</v>
      </c>
      <c r="C10" s="8" t="s">
        <v>38</v>
      </c>
      <c r="D10" s="7" t="s">
        <v>35</v>
      </c>
      <c r="E10" s="9">
        <v>6.4000000000000001E-2</v>
      </c>
      <c r="F10" s="9">
        <f t="shared" si="0"/>
        <v>3.2</v>
      </c>
      <c r="G10" s="10" t="s">
        <v>39</v>
      </c>
    </row>
    <row r="11" spans="1:7" s="7" customFormat="1">
      <c r="A11" s="7" t="s">
        <v>40</v>
      </c>
      <c r="B11" s="7">
        <v>10</v>
      </c>
      <c r="C11" s="8" t="s">
        <v>41</v>
      </c>
      <c r="D11" s="7" t="s">
        <v>42</v>
      </c>
      <c r="E11" s="9">
        <v>0.104</v>
      </c>
      <c r="F11" s="9">
        <f t="shared" si="0"/>
        <v>1.04</v>
      </c>
      <c r="G11" s="10" t="s">
        <v>43</v>
      </c>
    </row>
    <row r="12" spans="1:7" s="7" customFormat="1">
      <c r="A12" s="7" t="s">
        <v>44</v>
      </c>
      <c r="B12" s="7">
        <v>20</v>
      </c>
      <c r="C12" s="8" t="s">
        <v>45</v>
      </c>
      <c r="D12" s="7" t="s">
        <v>35</v>
      </c>
      <c r="E12" s="9">
        <v>0.16</v>
      </c>
      <c r="F12" s="9">
        <f t="shared" si="0"/>
        <v>3.2</v>
      </c>
      <c r="G12" s="10" t="s">
        <v>46</v>
      </c>
    </row>
    <row r="13" spans="1:7" s="7" customFormat="1">
      <c r="A13" s="7" t="s">
        <v>47</v>
      </c>
      <c r="B13" s="7">
        <v>20</v>
      </c>
      <c r="C13" s="8" t="s">
        <v>48</v>
      </c>
      <c r="D13" s="7" t="s">
        <v>35</v>
      </c>
      <c r="E13" s="9">
        <v>7.0000000000000007E-2</v>
      </c>
      <c r="F13" s="9">
        <f t="shared" si="0"/>
        <v>1.4000000000000001</v>
      </c>
      <c r="G13" s="10" t="s">
        <v>49</v>
      </c>
    </row>
    <row r="14" spans="1:7" s="7" customFormat="1">
      <c r="A14" s="7" t="s">
        <v>50</v>
      </c>
      <c r="B14" s="7">
        <v>10</v>
      </c>
      <c r="C14" s="8" t="s">
        <v>51</v>
      </c>
      <c r="D14" s="7" t="s">
        <v>52</v>
      </c>
      <c r="E14" s="9">
        <v>5.8000000000000003E-2</v>
      </c>
      <c r="F14" s="9">
        <f t="shared" si="0"/>
        <v>0.58000000000000007</v>
      </c>
      <c r="G14" s="10" t="s">
        <v>53</v>
      </c>
    </row>
    <row r="15" spans="1:7" s="7" customFormat="1">
      <c r="A15" s="7" t="s">
        <v>54</v>
      </c>
      <c r="B15" s="7">
        <v>10</v>
      </c>
      <c r="C15" s="8" t="s">
        <v>55</v>
      </c>
      <c r="D15" s="7" t="s">
        <v>56</v>
      </c>
      <c r="E15" s="9">
        <v>0.54</v>
      </c>
      <c r="F15" s="9">
        <f t="shared" si="0"/>
        <v>5.4</v>
      </c>
      <c r="G15" s="10" t="s">
        <v>57</v>
      </c>
    </row>
    <row r="16" spans="1:7" s="7" customFormat="1">
      <c r="A16" s="7" t="s">
        <v>58</v>
      </c>
      <c r="B16" s="7">
        <v>4</v>
      </c>
      <c r="C16" s="8" t="s">
        <v>59</v>
      </c>
      <c r="D16" s="7" t="s">
        <v>60</v>
      </c>
      <c r="E16" s="9">
        <v>0.54</v>
      </c>
      <c r="F16" s="9">
        <f t="shared" si="0"/>
        <v>2.16</v>
      </c>
      <c r="G16" s="10" t="s">
        <v>61</v>
      </c>
    </row>
    <row r="17" spans="1:8">
      <c r="A17" t="s">
        <v>62</v>
      </c>
      <c r="B17">
        <v>12</v>
      </c>
      <c r="C17" s="3" t="s">
        <v>63</v>
      </c>
      <c r="D17" t="s">
        <v>64</v>
      </c>
      <c r="E17" s="1">
        <v>0.12</v>
      </c>
      <c r="F17" s="1">
        <f t="shared" si="0"/>
        <v>1.44</v>
      </c>
      <c r="G17" s="2" t="s">
        <v>65</v>
      </c>
    </row>
    <row r="18" spans="1:8">
      <c r="A18" t="s">
        <v>66</v>
      </c>
      <c r="B18">
        <v>10</v>
      </c>
      <c r="C18" s="3" t="s">
        <v>67</v>
      </c>
      <c r="D18" t="s">
        <v>68</v>
      </c>
      <c r="E18" s="1">
        <v>0.26</v>
      </c>
      <c r="F18" s="1">
        <f t="shared" si="0"/>
        <v>2.6</v>
      </c>
      <c r="G18" s="2" t="s">
        <v>69</v>
      </c>
    </row>
    <row r="19" spans="1:8" s="7" customFormat="1">
      <c r="A19" s="7" t="s">
        <v>70</v>
      </c>
      <c r="B19" s="7">
        <v>50</v>
      </c>
      <c r="C19" s="8" t="s">
        <v>59</v>
      </c>
      <c r="D19" s="7" t="s">
        <v>71</v>
      </c>
      <c r="E19" s="9">
        <v>0.25700000000000001</v>
      </c>
      <c r="F19" s="9">
        <f t="shared" si="0"/>
        <v>12.85</v>
      </c>
      <c r="G19" s="10" t="s">
        <v>72</v>
      </c>
    </row>
    <row r="20" spans="1:8" s="7" customFormat="1">
      <c r="A20" s="7" t="s">
        <v>73</v>
      </c>
      <c r="B20" s="7">
        <v>15</v>
      </c>
      <c r="C20" s="8" t="s">
        <v>74</v>
      </c>
      <c r="D20" s="7" t="s">
        <v>75</v>
      </c>
      <c r="E20" s="9">
        <v>0.88</v>
      </c>
      <c r="F20" s="9">
        <f t="shared" si="0"/>
        <v>13.2</v>
      </c>
      <c r="G20" s="10" t="s">
        <v>76</v>
      </c>
    </row>
    <row r="21" spans="1:8">
      <c r="A21" t="s">
        <v>77</v>
      </c>
      <c r="B21">
        <v>10</v>
      </c>
      <c r="C21" s="3" t="s">
        <v>78</v>
      </c>
      <c r="D21" t="s">
        <v>79</v>
      </c>
      <c r="E21" s="1">
        <v>0.35399999999999998</v>
      </c>
      <c r="F21" s="1">
        <f t="shared" si="0"/>
        <v>3.54</v>
      </c>
      <c r="G21" s="2" t="s">
        <v>80</v>
      </c>
    </row>
    <row r="22" spans="1:8" s="7" customFormat="1">
      <c r="A22" s="7" t="s">
        <v>81</v>
      </c>
      <c r="B22" s="7">
        <v>5</v>
      </c>
      <c r="C22" s="8" t="s">
        <v>82</v>
      </c>
      <c r="D22" s="7" t="s">
        <v>83</v>
      </c>
      <c r="E22" s="9">
        <v>2.52</v>
      </c>
      <c r="F22" s="9">
        <f t="shared" si="0"/>
        <v>12.6</v>
      </c>
      <c r="G22" s="7" t="s">
        <v>84</v>
      </c>
    </row>
    <row r="23" spans="1:8" s="7" customFormat="1">
      <c r="A23" s="7" t="s">
        <v>85</v>
      </c>
      <c r="B23" s="7">
        <v>10</v>
      </c>
      <c r="C23" s="8" t="s">
        <v>86</v>
      </c>
      <c r="D23" s="7" t="s">
        <v>87</v>
      </c>
      <c r="E23" s="9">
        <v>0.1</v>
      </c>
      <c r="F23" s="9">
        <f t="shared" si="0"/>
        <v>1</v>
      </c>
      <c r="G23" s="7" t="s">
        <v>88</v>
      </c>
    </row>
    <row r="24" spans="1:8" s="7" customFormat="1">
      <c r="A24" s="7" t="s">
        <v>89</v>
      </c>
      <c r="B24" s="7">
        <v>19</v>
      </c>
      <c r="C24" s="8" t="s">
        <v>90</v>
      </c>
      <c r="D24" s="7" t="s">
        <v>87</v>
      </c>
      <c r="E24" s="9">
        <v>0.1</v>
      </c>
      <c r="F24" s="9">
        <f t="shared" si="0"/>
        <v>1.9000000000000001</v>
      </c>
      <c r="G24" s="7" t="s">
        <v>91</v>
      </c>
    </row>
    <row r="25" spans="1:8" s="7" customFormat="1">
      <c r="A25" s="7" t="s">
        <v>92</v>
      </c>
      <c r="B25" s="7">
        <v>20</v>
      </c>
      <c r="C25" s="8">
        <v>210</v>
      </c>
      <c r="D25" s="7" t="s">
        <v>87</v>
      </c>
      <c r="E25" s="9">
        <v>0.1</v>
      </c>
      <c r="F25" s="9">
        <f t="shared" si="0"/>
        <v>2</v>
      </c>
      <c r="G25" s="7" t="s">
        <v>93</v>
      </c>
    </row>
    <row r="26" spans="1:8" s="7" customFormat="1">
      <c r="A26" s="7" t="s">
        <v>94</v>
      </c>
      <c r="B26" s="7">
        <v>20</v>
      </c>
      <c r="C26" s="8" t="s">
        <v>95</v>
      </c>
      <c r="D26" s="7" t="s">
        <v>87</v>
      </c>
      <c r="E26" s="9">
        <v>0.1</v>
      </c>
      <c r="F26" s="9">
        <f t="shared" si="0"/>
        <v>2</v>
      </c>
      <c r="G26" s="7" t="s">
        <v>96</v>
      </c>
    </row>
    <row r="27" spans="1:8" s="7" customFormat="1">
      <c r="A27" s="7" t="s">
        <v>97</v>
      </c>
      <c r="B27" s="7">
        <v>20</v>
      </c>
      <c r="C27" s="8" t="s">
        <v>98</v>
      </c>
      <c r="D27" s="7" t="s">
        <v>87</v>
      </c>
      <c r="E27" s="9">
        <v>0.1</v>
      </c>
      <c r="F27" s="9">
        <f t="shared" si="0"/>
        <v>2</v>
      </c>
      <c r="G27" s="7" t="s">
        <v>96</v>
      </c>
    </row>
    <row r="28" spans="1:8" s="11" customFormat="1">
      <c r="A28" s="11" t="s">
        <v>99</v>
      </c>
      <c r="B28" s="11">
        <v>20</v>
      </c>
      <c r="C28" s="12">
        <v>22</v>
      </c>
      <c r="D28" s="11" t="s">
        <v>87</v>
      </c>
      <c r="E28" s="13">
        <v>0.1</v>
      </c>
      <c r="F28" s="13">
        <f t="shared" si="0"/>
        <v>2</v>
      </c>
      <c r="G28" s="11" t="s">
        <v>100</v>
      </c>
      <c r="H28" s="14" t="s">
        <v>100</v>
      </c>
    </row>
    <row r="29" spans="1:8" s="7" customFormat="1">
      <c r="A29" s="7" t="s">
        <v>101</v>
      </c>
      <c r="B29" s="7">
        <v>20</v>
      </c>
      <c r="C29" s="8" t="s">
        <v>102</v>
      </c>
      <c r="D29" s="7" t="s">
        <v>87</v>
      </c>
      <c r="E29" s="9">
        <v>0.1</v>
      </c>
      <c r="F29" s="9">
        <f t="shared" si="0"/>
        <v>2</v>
      </c>
      <c r="G29" s="7" t="s">
        <v>103</v>
      </c>
    </row>
    <row r="30" spans="1:8" s="7" customFormat="1">
      <c r="A30" s="7" t="s">
        <v>104</v>
      </c>
      <c r="B30" s="7">
        <v>20</v>
      </c>
      <c r="C30" s="8">
        <v>680</v>
      </c>
      <c r="D30" s="7" t="s">
        <v>87</v>
      </c>
      <c r="E30" s="9">
        <v>0.1</v>
      </c>
      <c r="F30" s="9">
        <f t="shared" si="0"/>
        <v>2</v>
      </c>
      <c r="G30" s="7" t="s">
        <v>105</v>
      </c>
    </row>
    <row r="31" spans="1:8" s="7" customFormat="1">
      <c r="A31" s="7" t="s">
        <v>106</v>
      </c>
      <c r="B31" s="7">
        <v>20</v>
      </c>
      <c r="C31" s="8">
        <v>220</v>
      </c>
      <c r="D31" s="7" t="s">
        <v>87</v>
      </c>
      <c r="E31" s="9">
        <v>0.1</v>
      </c>
      <c r="F31" s="9">
        <f t="shared" si="0"/>
        <v>2</v>
      </c>
      <c r="G31" s="7" t="s">
        <v>107</v>
      </c>
    </row>
    <row r="32" spans="1:8" s="7" customFormat="1">
      <c r="A32" s="7" t="s">
        <v>108</v>
      </c>
      <c r="B32" s="7">
        <v>20</v>
      </c>
      <c r="C32" s="8" t="s">
        <v>109</v>
      </c>
      <c r="D32" s="7" t="s">
        <v>87</v>
      </c>
      <c r="E32" s="9">
        <v>0.1</v>
      </c>
      <c r="F32" s="9">
        <f t="shared" si="0"/>
        <v>2</v>
      </c>
      <c r="G32" s="7" t="s">
        <v>110</v>
      </c>
    </row>
    <row r="33" spans="1:7" s="7" customFormat="1">
      <c r="A33" s="7" t="s">
        <v>111</v>
      </c>
      <c r="B33" s="7">
        <v>25</v>
      </c>
      <c r="C33" s="8" t="s">
        <v>112</v>
      </c>
      <c r="D33" s="7" t="s">
        <v>113</v>
      </c>
      <c r="E33" s="9">
        <v>0.73599999999999999</v>
      </c>
      <c r="F33" s="9">
        <f t="shared" si="0"/>
        <v>18.399999999999999</v>
      </c>
      <c r="G33" s="7" t="s">
        <v>114</v>
      </c>
    </row>
    <row r="34" spans="1:7" s="7" customFormat="1">
      <c r="A34" s="7" t="s">
        <v>115</v>
      </c>
      <c r="B34" s="7">
        <v>25</v>
      </c>
      <c r="C34" s="8" t="s">
        <v>116</v>
      </c>
      <c r="D34" s="7" t="s">
        <v>117</v>
      </c>
      <c r="E34" s="9">
        <v>5.4800000000000001E-2</v>
      </c>
      <c r="F34" s="9">
        <f t="shared" si="0"/>
        <v>1.37</v>
      </c>
      <c r="G34" s="7" t="s">
        <v>118</v>
      </c>
    </row>
    <row r="35" spans="1:7" s="7" customFormat="1">
      <c r="A35" s="7" t="s">
        <v>119</v>
      </c>
      <c r="B35" s="7">
        <v>10</v>
      </c>
      <c r="C35" s="8" t="s">
        <v>120</v>
      </c>
      <c r="D35" s="7" t="s">
        <v>121</v>
      </c>
      <c r="E35" s="9">
        <v>3.24</v>
      </c>
      <c r="F35" s="9">
        <f t="shared" si="0"/>
        <v>32.400000000000006</v>
      </c>
      <c r="G35" s="7" t="s">
        <v>122</v>
      </c>
    </row>
    <row r="36" spans="1:7" s="7" customFormat="1">
      <c r="A36" s="7" t="s">
        <v>123</v>
      </c>
      <c r="B36" s="7">
        <v>10</v>
      </c>
      <c r="C36" s="8" t="s">
        <v>124</v>
      </c>
      <c r="D36" s="7" t="s">
        <v>125</v>
      </c>
      <c r="E36" s="9">
        <v>0.39500000000000002</v>
      </c>
      <c r="F36" s="9">
        <f t="shared" si="0"/>
        <v>3.95</v>
      </c>
      <c r="G36" s="7" t="s">
        <v>126</v>
      </c>
    </row>
    <row r="37" spans="1:7" s="7" customFormat="1">
      <c r="A37" s="7" t="s">
        <v>127</v>
      </c>
      <c r="B37" s="7">
        <v>10</v>
      </c>
      <c r="C37" s="8" t="s">
        <v>128</v>
      </c>
      <c r="D37" s="7" t="s">
        <v>129</v>
      </c>
      <c r="E37" s="9">
        <v>0.38200000000000001</v>
      </c>
      <c r="F37" s="9">
        <f t="shared" si="0"/>
        <v>3.8200000000000003</v>
      </c>
      <c r="G37" s="7" t="s">
        <v>130</v>
      </c>
    </row>
    <row r="38" spans="1:7" s="7" customFormat="1">
      <c r="A38" s="7" t="s">
        <v>131</v>
      </c>
      <c r="B38" s="7">
        <v>10</v>
      </c>
      <c r="C38" s="8" t="s">
        <v>132</v>
      </c>
      <c r="D38" s="7" t="s">
        <v>133</v>
      </c>
      <c r="E38" s="9">
        <v>0.755</v>
      </c>
      <c r="F38" s="9">
        <f t="shared" si="0"/>
        <v>7.55</v>
      </c>
      <c r="G38" s="7" t="s">
        <v>134</v>
      </c>
    </row>
    <row r="39" spans="1:7">
      <c r="A39" t="s">
        <v>135</v>
      </c>
      <c r="B39">
        <v>2</v>
      </c>
      <c r="C39" s="3" t="s">
        <v>136</v>
      </c>
      <c r="D39" t="s">
        <v>137</v>
      </c>
      <c r="E39" s="1">
        <v>11.8</v>
      </c>
      <c r="F39" s="1">
        <f>B39*E39</f>
        <v>23.6</v>
      </c>
      <c r="G39" t="s">
        <v>138</v>
      </c>
    </row>
    <row r="40" spans="1:7" s="7" customFormat="1">
      <c r="A40" s="7" t="s">
        <v>139</v>
      </c>
      <c r="B40" s="7">
        <v>10</v>
      </c>
      <c r="C40" s="8" t="s">
        <v>140</v>
      </c>
      <c r="D40" s="7" t="s">
        <v>141</v>
      </c>
      <c r="E40" s="9">
        <v>0.437</v>
      </c>
      <c r="F40" s="9">
        <f>B40*E40</f>
        <v>4.37</v>
      </c>
      <c r="G40" s="7" t="s">
        <v>142</v>
      </c>
    </row>
    <row r="41" spans="1:7" s="7" customFormat="1">
      <c r="A41" s="7" t="s">
        <v>143</v>
      </c>
      <c r="B41" s="7">
        <v>10</v>
      </c>
      <c r="C41" s="8" t="s">
        <v>144</v>
      </c>
      <c r="D41" s="7" t="s">
        <v>145</v>
      </c>
      <c r="E41" s="9">
        <v>21.67</v>
      </c>
      <c r="F41" s="9">
        <f>B41*E41</f>
        <v>216.70000000000002</v>
      </c>
      <c r="G41" s="7" t="s">
        <v>146</v>
      </c>
    </row>
    <row r="42" spans="1:7" s="7" customFormat="1">
      <c r="A42" s="7" t="s">
        <v>147</v>
      </c>
      <c r="B42" s="7">
        <v>25</v>
      </c>
      <c r="C42" s="8" t="s">
        <v>148</v>
      </c>
      <c r="D42" s="7" t="s">
        <v>149</v>
      </c>
      <c r="E42" s="9">
        <v>0.27160000000000001</v>
      </c>
      <c r="F42" s="9">
        <f>B42*E42</f>
        <v>6.79</v>
      </c>
      <c r="G42" s="7" t="s">
        <v>150</v>
      </c>
    </row>
    <row r="43" spans="1:7">
      <c r="A43" t="s">
        <v>151</v>
      </c>
      <c r="B43">
        <v>4</v>
      </c>
      <c r="C43" s="3" t="s">
        <v>152</v>
      </c>
      <c r="D43" t="s">
        <v>153</v>
      </c>
      <c r="E43" s="1">
        <f>F43/4</f>
        <v>4.2474999999999996</v>
      </c>
      <c r="F43" s="1">
        <v>16.989999999999998</v>
      </c>
      <c r="G43" t="s">
        <v>154</v>
      </c>
    </row>
    <row r="44" spans="1:7" s="4" customFormat="1">
      <c r="C44" s="5"/>
      <c r="E44" s="6" t="s">
        <v>155</v>
      </c>
      <c r="F44" s="6">
        <f>SUM(F2:F43)</f>
        <v>456.52000000000004</v>
      </c>
    </row>
  </sheetData>
  <hyperlinks>
    <hyperlink ref="G15" r:id="rId1" xr:uid="{3FB430FA-E3FA-4E69-883F-C15E068876AC}"/>
    <hyperlink ref="G7" r:id="rId2" xr:uid="{C5FC2C07-BC38-4F98-A110-8E730667A056}"/>
    <hyperlink ref="G8" r:id="rId3" xr:uid="{E0B7040F-152F-4EB9-8E61-F306A09E0043}"/>
    <hyperlink ref="G9" r:id="rId4" xr:uid="{F5DA6B4D-BA8B-4962-846B-F937E2881A38}"/>
    <hyperlink ref="G10" r:id="rId5" xr:uid="{7F329F1D-3C59-4E57-A31E-1EAE468CC004}"/>
    <hyperlink ref="G11" r:id="rId6" xr:uid="{362FED27-546C-4151-86F8-73176E4A54D4}"/>
    <hyperlink ref="G12" r:id="rId7" xr:uid="{D96CB679-FA3A-4F99-B48E-1EAF3C7D1A9C}"/>
    <hyperlink ref="G13" r:id="rId8" xr:uid="{EA20EE10-4660-47AB-BE2A-B57F884D892D}"/>
    <hyperlink ref="G14" r:id="rId9" xr:uid="{F22C8AEB-C85C-40BB-9A51-2E4BCD1F3014}"/>
    <hyperlink ref="G2" r:id="rId10" xr:uid="{AF8146E6-7391-4CE5-AB18-0B797717F555}"/>
    <hyperlink ref="G3" r:id="rId11" xr:uid="{4647FCAC-95A6-4701-A8A5-068371BF153B}"/>
    <hyperlink ref="G4" r:id="rId12" xr:uid="{C691E5DD-646E-4338-A6EC-17D0A063A0A8}"/>
    <hyperlink ref="G5" r:id="rId13" xr:uid="{C73EC6DB-0B38-4BC2-855F-69CBC5B545A6}"/>
    <hyperlink ref="G6" r:id="rId14" xr:uid="{9B1E35BE-A472-49C7-9BE7-662EFE4DF109}"/>
    <hyperlink ref="G20" r:id="rId15" xr:uid="{D59457BD-C358-44F7-9090-8FCC364B8EF1}"/>
    <hyperlink ref="G17" r:id="rId16" xr:uid="{2506758A-C4E2-420B-93F1-2582427125D3}"/>
    <hyperlink ref="H28" r:id="rId17" xr:uid="{F1EF088D-3C3C-4CDB-A3F9-61268795D991}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Francois Bouchard</dc:creator>
  <cp:keywords/>
  <dc:description/>
  <cp:lastModifiedBy>Patrick R Pasteris</cp:lastModifiedBy>
  <cp:revision/>
  <dcterms:created xsi:type="dcterms:W3CDTF">2026-06-10T12:16:44Z</dcterms:created>
  <dcterms:modified xsi:type="dcterms:W3CDTF">2026-06-24T11:38:21Z</dcterms:modified>
  <cp:category/>
  <cp:contentStatus/>
</cp:coreProperties>
</file>